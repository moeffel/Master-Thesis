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graz-my.sharepoint.com/personal/lukas_kamper_edu_uni-graz_at/Documents/Master/2. Semester Onedrive/Investitionsmanagement/Aufgaben/"/>
    </mc:Choice>
  </mc:AlternateContent>
  <xr:revisionPtr revIDLastSave="213" documentId="8_{D1F09D77-F7DE-4CE8-A437-2A8F5BC309B5}" xr6:coauthVersionLast="47" xr6:coauthVersionMax="47" xr10:uidLastSave="{1C2A4FFA-F0E3-4CA2-A429-8DD0543FC86A}"/>
  <bookViews>
    <workbookView xWindow="-96" yWindow="0" windowWidth="11712" windowHeight="12336" xr2:uid="{B6D61B9D-0D61-452D-BF1F-2C878AAB7B2A}"/>
  </bookViews>
  <sheets>
    <sheet name="ZB Kapitalkostensätz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2" l="1"/>
  <c r="D32" i="2"/>
  <c r="C32" i="2"/>
  <c r="D35" i="2"/>
  <c r="D33" i="2"/>
  <c r="D36" i="2"/>
  <c r="C45" i="2"/>
  <c r="C48" i="2"/>
  <c r="D41" i="2"/>
  <c r="C41" i="2"/>
  <c r="C42" i="2"/>
  <c r="C46" i="2"/>
  <c r="C57" i="2"/>
  <c r="D82" i="2"/>
  <c r="C55" i="2"/>
  <c r="D64" i="2"/>
  <c r="D53" i="2"/>
  <c r="D48" i="2"/>
  <c r="C43" i="2"/>
  <c r="C39" i="2"/>
  <c r="C37" i="2"/>
  <c r="D34" i="2"/>
  <c r="C33" i="2"/>
  <c r="D29" i="2"/>
  <c r="D56" i="2"/>
  <c r="C56" i="2"/>
  <c r="C36" i="2"/>
  <c r="C35" i="2"/>
  <c r="C53" i="2"/>
  <c r="C84" i="2"/>
  <c r="C75" i="2"/>
  <c r="D65" i="2"/>
  <c r="E79" i="2" s="1"/>
  <c r="C65" i="2"/>
  <c r="D79" i="2" s="1"/>
  <c r="D66" i="2"/>
  <c r="E77" i="2" s="1"/>
  <c r="E21" i="2"/>
  <c r="C22" i="2" s="1"/>
  <c r="D21" i="2"/>
  <c r="G12" i="2"/>
  <c r="D67" i="2" s="1"/>
  <c r="F12" i="2"/>
  <c r="C67" i="2" s="1"/>
  <c r="C10" i="2"/>
  <c r="G8" i="2"/>
  <c r="E86" i="2" s="1"/>
  <c r="F8" i="2"/>
  <c r="D86" i="2" s="1"/>
  <c r="F7" i="2"/>
  <c r="D85" i="2" s="1"/>
  <c r="D37" i="2" l="1"/>
  <c r="D45" i="2"/>
  <c r="C81" i="2"/>
  <c r="C63" i="2"/>
  <c r="D63" i="2"/>
  <c r="G13" i="2"/>
  <c r="D68" i="2" s="1"/>
  <c r="C25" i="2" a="1"/>
  <c r="C25" i="2" s="1"/>
  <c r="C26" i="2" s="1"/>
  <c r="C24" i="2" a="1"/>
  <c r="C24" i="2" s="1"/>
  <c r="G6" i="2"/>
  <c r="G7" i="2" s="1"/>
  <c r="E82" i="2" s="1"/>
  <c r="C64" i="2"/>
  <c r="D78" i="2" s="1"/>
  <c r="E78" i="2"/>
  <c r="D54" i="2" l="1"/>
  <c r="D42" i="2"/>
  <c r="D46" i="2" s="1"/>
  <c r="C83" i="2"/>
  <c r="D69" i="2"/>
  <c r="D70" i="2" s="1"/>
  <c r="E80" i="2" s="1"/>
  <c r="C69" i="2"/>
  <c r="C29" i="2"/>
  <c r="E76" i="2"/>
  <c r="E85" i="2"/>
  <c r="C34" i="2"/>
  <c r="D76" i="2"/>
  <c r="C87" i="2" l="1"/>
  <c r="E81" i="2"/>
  <c r="E83" i="2" l="1"/>
  <c r="D49" i="2"/>
  <c r="D55" i="2" l="1"/>
  <c r="D50" i="2"/>
  <c r="D57" i="2" s="1"/>
  <c r="D51" i="2"/>
  <c r="E87" i="2"/>
  <c r="C49" i="2"/>
  <c r="C92" i="2" l="1"/>
  <c r="D58" i="2"/>
  <c r="C89" i="2" s="1"/>
  <c r="D59" i="2"/>
  <c r="C90" i="2" s="1"/>
  <c r="C54" i="2"/>
  <c r="C58" i="2" l="1"/>
  <c r="C51" i="2" l="1"/>
  <c r="C59" i="2" l="1"/>
  <c r="C70" i="2" l="1"/>
  <c r="D80" i="2" l="1"/>
  <c r="D81" i="2" s="1"/>
  <c r="C91" i="2" l="1"/>
  <c r="D83" i="2"/>
  <c r="D8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<sst xmlns="http://schemas.openxmlformats.org/spreadsheetml/2006/main" count="89" uniqueCount="73">
  <si>
    <t>Zusatzbeispiel Kapitalkostensätze</t>
  </si>
  <si>
    <t>T</t>
  </si>
  <si>
    <t>p</t>
  </si>
  <si>
    <t>Rezession</t>
  </si>
  <si>
    <t>Normal</t>
  </si>
  <si>
    <t>Boom</t>
  </si>
  <si>
    <t>r</t>
  </si>
  <si>
    <t>s</t>
  </si>
  <si>
    <t>Zins und Tilgungsplan</t>
  </si>
  <si>
    <t>ausst. Nom</t>
  </si>
  <si>
    <t>Zinsen</t>
  </si>
  <si>
    <t>Tilgung</t>
  </si>
  <si>
    <t>t</t>
  </si>
  <si>
    <t>E(.)</t>
  </si>
  <si>
    <t>SÄ</t>
  </si>
  <si>
    <t>AfA</t>
  </si>
  <si>
    <t>RBW</t>
  </si>
  <si>
    <t>Ergebnis vor Steuern</t>
  </si>
  <si>
    <t>Steuern</t>
  </si>
  <si>
    <t>Cashflow WACC</t>
  </si>
  <si>
    <t>Tax Shields</t>
  </si>
  <si>
    <t>Cashflow TCF</t>
  </si>
  <si>
    <t>Cashflow Equity</t>
  </si>
  <si>
    <t>var. Auszahlungen</t>
  </si>
  <si>
    <t>fixe Auszahlungen</t>
  </si>
  <si>
    <t>Gewinn- und Verlustrechnung (brutto)</t>
  </si>
  <si>
    <r>
      <t>R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</si>
  <si>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AfA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</si>
  <si>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BW</t>
    </r>
    <r>
      <rPr>
        <vertAlign val="subscript"/>
        <sz val="12"/>
        <color theme="1"/>
        <rFont val="Calibri Light"/>
        <family val="2"/>
        <scheme val="major"/>
      </rPr>
      <t>T</t>
    </r>
  </si>
  <si>
    <t>Cashflow-Rechnung</t>
  </si>
  <si>
    <r>
      <t>A</t>
    </r>
    <r>
      <rPr>
        <vertAlign val="subscript"/>
        <sz val="12"/>
        <color theme="1"/>
        <rFont val="Calibri Light"/>
        <family val="2"/>
        <scheme val="major"/>
      </rPr>
      <t>0</t>
    </r>
  </si>
  <si>
    <t>Cashflows APV</t>
  </si>
  <si>
    <t>ρ</t>
  </si>
  <si>
    <t>Kapitalwert WACC</t>
  </si>
  <si>
    <t>Kapitalwert TCF</t>
  </si>
  <si>
    <t>Kapitalwert APV</t>
  </si>
  <si>
    <t>Kapitalwert Equity</t>
  </si>
  <si>
    <r>
      <t>OL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</si>
  <si>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FL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</si>
  <si>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β</t>
    </r>
    <r>
      <rPr>
        <vertAlign val="subscript"/>
        <sz val="12"/>
        <color theme="1"/>
        <rFont val="Calibri Light"/>
        <family val="2"/>
        <scheme val="major"/>
      </rPr>
      <t>VZ,t</t>
    </r>
  </si>
  <si>
    <r>
      <t>β</t>
    </r>
    <r>
      <rPr>
        <vertAlign val="subscript"/>
        <sz val="12"/>
        <color theme="1"/>
        <rFont val="Calibri Light"/>
        <family val="2"/>
        <scheme val="major"/>
      </rPr>
      <t>A,t</t>
    </r>
  </si>
  <si>
    <r>
      <t>β</t>
    </r>
    <r>
      <rPr>
        <vertAlign val="subscript"/>
        <sz val="12"/>
        <color theme="1"/>
        <rFont val="Calibri Light"/>
        <family val="2"/>
        <scheme val="major"/>
      </rPr>
      <t>E,t</t>
    </r>
  </si>
  <si>
    <r>
      <t>β</t>
    </r>
    <r>
      <rPr>
        <vertAlign val="subscript"/>
        <sz val="12"/>
        <color theme="1"/>
        <rFont val="Calibri Light"/>
        <family val="2"/>
        <scheme val="major"/>
      </rPr>
      <t>E,t</t>
    </r>
    <r>
      <rPr>
        <sz val="12"/>
        <color theme="1"/>
        <rFont val="Calibri Light"/>
        <family val="2"/>
        <scheme val="major"/>
      </rPr>
      <t xml:space="preserve"> (via FL</t>
    </r>
    <r>
      <rPr>
        <vertAlign val="subscript"/>
        <sz val="12"/>
        <color theme="1"/>
        <rFont val="Calibri Light"/>
        <family val="2"/>
        <scheme val="major"/>
      </rPr>
      <t>t</t>
    </r>
    <r>
      <rPr>
        <sz val="12"/>
        <color theme="1"/>
        <rFont val="Calibri Light"/>
        <family val="2"/>
        <scheme val="major"/>
      </rPr>
      <t>)</t>
    </r>
  </si>
  <si>
    <r>
      <t>k</t>
    </r>
    <r>
      <rPr>
        <vertAlign val="subscript"/>
        <sz val="12"/>
        <color theme="1"/>
        <rFont val="Calibri Light"/>
        <family val="2"/>
        <scheme val="major"/>
      </rPr>
      <t>E</t>
    </r>
  </si>
  <si>
    <r>
      <t>v</t>
    </r>
    <r>
      <rPr>
        <vertAlign val="subscript"/>
        <sz val="12"/>
        <color theme="1"/>
        <rFont val="Calibri Light"/>
        <family val="2"/>
        <scheme val="major"/>
      </rPr>
      <t>0</t>
    </r>
  </si>
  <si>
    <r>
      <t>k</t>
    </r>
    <r>
      <rPr>
        <vertAlign val="subscript"/>
        <sz val="12"/>
        <color theme="1"/>
        <rFont val="Calibri Light"/>
        <family val="2"/>
        <scheme val="major"/>
      </rPr>
      <t>g</t>
    </r>
  </si>
  <si>
    <r>
      <t>k</t>
    </r>
    <r>
      <rPr>
        <vertAlign val="subscript"/>
        <sz val="12"/>
        <color theme="1"/>
        <rFont val="Calibri Light"/>
        <family val="2"/>
        <scheme val="major"/>
      </rPr>
      <t>g</t>
    </r>
    <r>
      <rPr>
        <vertAlign val="superscript"/>
        <sz val="12"/>
        <color theme="1"/>
        <rFont val="Calibri Light"/>
        <family val="2"/>
        <scheme val="major"/>
      </rPr>
      <t>*</t>
    </r>
  </si>
  <si>
    <r>
      <t>D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</si>
  <si>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E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</si>
  <si>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K</t>
    </r>
    <r>
      <rPr>
        <vertAlign val="subscript"/>
        <sz val="12"/>
        <color theme="1"/>
        <rFont val="Calibri Light"/>
        <family val="2"/>
        <scheme val="major"/>
      </rPr>
      <t>0</t>
    </r>
  </si>
  <si>
    <r>
      <t>V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</si>
  <si>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PTS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</si>
  <si>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U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</si>
  <si>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PF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</si>
  <si>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PVZ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</si>
  <si>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PV</t>
    </r>
    <r>
      <rPr>
        <vertAlign val="subscript"/>
        <sz val="12"/>
        <color theme="1"/>
        <rFont val="Calibri Light"/>
        <family val="2"/>
        <scheme val="major"/>
      </rPr>
      <t>t</t>
    </r>
  </si>
  <si>
    <r>
      <t>T</t>
    </r>
    <r>
      <rPr>
        <vertAlign val="subscript"/>
        <sz val="12"/>
        <color theme="1"/>
        <rFont val="Calibri Light"/>
        <family val="2"/>
        <scheme val="major"/>
      </rPr>
      <t>s</t>
    </r>
  </si>
  <si>
    <r>
      <t>z</t>
    </r>
    <r>
      <rPr>
        <vertAlign val="subscript"/>
        <sz val="12"/>
        <color theme="1"/>
        <rFont val="Calibri Light"/>
        <family val="2"/>
        <scheme val="major"/>
      </rPr>
      <t>i</t>
    </r>
  </si>
  <si>
    <r>
      <t>p(z</t>
    </r>
    <r>
      <rPr>
        <vertAlign val="subscript"/>
        <sz val="12"/>
        <color theme="1"/>
        <rFont val="Calibri Light"/>
        <family val="2"/>
        <scheme val="major"/>
      </rPr>
      <t>i</t>
    </r>
    <r>
      <rPr>
        <sz val="12"/>
        <color theme="1"/>
        <rFont val="Calibri Light"/>
        <family val="2"/>
        <scheme val="major"/>
      </rPr>
      <t>)</t>
    </r>
  </si>
  <si>
    <r>
      <t>r</t>
    </r>
    <r>
      <rPr>
        <vertAlign val="subscript"/>
        <sz val="12"/>
        <color theme="1"/>
        <rFont val="Calibri Light"/>
        <family val="2"/>
        <scheme val="major"/>
      </rPr>
      <t>M</t>
    </r>
    <r>
      <rPr>
        <sz val="12"/>
        <color theme="1"/>
        <rFont val="Calibri Light"/>
        <family val="2"/>
        <scheme val="major"/>
      </rPr>
      <t>(z</t>
    </r>
    <r>
      <rPr>
        <vertAlign val="subscript"/>
        <sz val="12"/>
        <color theme="1"/>
        <rFont val="Calibri Light"/>
        <family val="2"/>
        <scheme val="major"/>
      </rPr>
      <t>i</t>
    </r>
    <r>
      <rPr>
        <sz val="12"/>
        <color theme="1"/>
        <rFont val="Calibri Light"/>
        <family val="2"/>
        <scheme val="major"/>
      </rPr>
      <t>)</t>
    </r>
  </si>
  <si>
    <r>
      <t>x(z</t>
    </r>
    <r>
      <rPr>
        <vertAlign val="subscript"/>
        <sz val="12"/>
        <color theme="1"/>
        <rFont val="Calibri Light"/>
        <family val="2"/>
        <scheme val="major"/>
      </rPr>
      <t>i</t>
    </r>
    <r>
      <rPr>
        <sz val="12"/>
        <color theme="1"/>
        <rFont val="Calibri Light"/>
        <family val="2"/>
        <scheme val="major"/>
      </rPr>
      <t>)</t>
    </r>
  </si>
  <si>
    <t>γ</t>
  </si>
  <si>
    <t>E(p*x) = p*E(x)</t>
  </si>
  <si>
    <r>
      <t>σ</t>
    </r>
    <r>
      <rPr>
        <vertAlign val="superscript"/>
        <sz val="12"/>
        <color theme="1"/>
        <rFont val="Calibri Light"/>
        <family val="2"/>
        <scheme val="major"/>
      </rPr>
      <t>2</t>
    </r>
    <r>
      <rPr>
        <sz val="12"/>
        <color theme="1"/>
        <rFont val="Calibri Light"/>
        <family val="2"/>
        <scheme val="major"/>
      </rPr>
      <t>(r</t>
    </r>
    <r>
      <rPr>
        <vertAlign val="subscript"/>
        <sz val="12"/>
        <color theme="1"/>
        <rFont val="Calibri Light"/>
        <family val="2"/>
        <scheme val="major"/>
      </rPr>
      <t>M</t>
    </r>
    <r>
      <rPr>
        <sz val="12"/>
        <color theme="1"/>
        <rFont val="Calibri Light"/>
        <family val="2"/>
        <scheme val="major"/>
      </rPr>
      <t>)</t>
    </r>
  </si>
  <si>
    <r>
      <t>Cov(x,r</t>
    </r>
    <r>
      <rPr>
        <vertAlign val="subscript"/>
        <sz val="12"/>
        <color theme="1"/>
        <rFont val="Calibri Light"/>
        <family val="2"/>
        <scheme val="major"/>
      </rPr>
      <t>M</t>
    </r>
    <r>
      <rPr>
        <sz val="12"/>
        <color theme="1"/>
        <rFont val="Calibri Light"/>
        <family val="2"/>
        <scheme val="major"/>
      </rPr>
      <t>)</t>
    </r>
  </si>
  <si>
    <r>
      <t>Cov(p*x,r</t>
    </r>
    <r>
      <rPr>
        <vertAlign val="subscript"/>
        <sz val="12"/>
        <color theme="1"/>
        <rFont val="Calibri Light"/>
        <family val="2"/>
        <scheme val="major"/>
      </rPr>
      <t>M</t>
    </r>
    <r>
      <rPr>
        <sz val="12"/>
        <color theme="1"/>
        <rFont val="Calibri Light"/>
        <family val="2"/>
        <scheme val="major"/>
      </rPr>
      <t>) = p*Cov(x,r</t>
    </r>
    <r>
      <rPr>
        <vertAlign val="subscript"/>
        <sz val="12"/>
        <color theme="1"/>
        <rFont val="Calibri Light"/>
        <family val="2"/>
        <scheme val="major"/>
      </rPr>
      <t>M</t>
    </r>
    <r>
      <rPr>
        <sz val="12"/>
        <color theme="1"/>
        <rFont val="Calibri Light"/>
        <family val="2"/>
        <scheme val="major"/>
      </rPr>
      <t>)</t>
    </r>
  </si>
  <si>
    <r>
      <t>0</t>
    </r>
    <r>
      <rPr>
        <vertAlign val="superscript"/>
        <sz val="12"/>
        <color theme="1"/>
        <rFont val="Calibri Light"/>
        <family val="2"/>
        <scheme val="major"/>
      </rPr>
      <t>+</t>
    </r>
  </si>
  <si>
    <r>
      <t>1</t>
    </r>
    <r>
      <rPr>
        <vertAlign val="superscript"/>
        <sz val="12"/>
        <color theme="1"/>
        <rFont val="Calibri Light"/>
        <family val="2"/>
        <scheme val="major"/>
      </rPr>
      <t>+</t>
    </r>
  </si>
  <si>
    <t>κ</t>
  </si>
  <si>
    <r>
      <t>c</t>
    </r>
    <r>
      <rPr>
        <vertAlign val="subscript"/>
        <sz val="12"/>
        <color theme="1"/>
        <rFont val="Calibri Light"/>
        <family val="2"/>
        <scheme val="major"/>
      </rPr>
      <t>v</t>
    </r>
  </si>
  <si>
    <r>
      <t>c</t>
    </r>
    <r>
      <rPr>
        <vertAlign val="subscript"/>
        <sz val="12"/>
        <color theme="1"/>
        <rFont val="Calibri Light"/>
        <family val="2"/>
        <scheme val="major"/>
      </rPr>
      <t>f</t>
    </r>
  </si>
  <si>
    <t>Umsatz</t>
  </si>
  <si>
    <t>Nominale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</si>
</sst>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%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vertAlign val="subscript"/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"/>
      <family val="2"/>
    </font>
    <font>
      <vertAlign val="superscript"/>
      <sz val="12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1" applyNumberFormat="1" applyFont="1"/>
    <xf numFmtId="0" fontId="4" fillId="0" borderId="0" xfId="0" applyFont="1"/>
    <xf numFmtId="0" fontId="2" fillId="0" borderId="2" xfId="0" applyFont="1" applyBorder="1"/>
    <xf numFmtId="0" fontId="2" fillId="0" borderId="5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9" xfId="0" applyFont="1" applyBorder="1"/>
    <xf numFmtId="2" fontId="2" fillId="0" borderId="10" xfId="0" applyNumberFormat="1" applyFont="1" applyBorder="1"/>
    <xf numFmtId="2" fontId="2" fillId="0" borderId="11" xfId="0" applyNumberFormat="1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2" fontId="2" fillId="0" borderId="1" xfId="0" applyNumberFormat="1" applyFont="1" applyBorder="1"/>
    <xf numFmtId="2" fontId="2" fillId="0" borderId="6" xfId="0" applyNumberFormat="1" applyFont="1" applyBorder="1"/>
    <xf numFmtId="0" fontId="2" fillId="0" borderId="3" xfId="0" applyFont="1" applyBorder="1"/>
    <xf numFmtId="0" fontId="2" fillId="0" borderId="18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3" borderId="5" xfId="0" applyFont="1" applyFill="1" applyBorder="1"/>
    <xf numFmtId="0" fontId="2" fillId="4" borderId="19" xfId="0" applyFont="1" applyFill="1" applyBorder="1"/>
    <xf numFmtId="0" fontId="2" fillId="5" borderId="0" xfId="0" applyFont="1" applyFill="1"/>
    <xf numFmtId="2" fontId="2" fillId="2" borderId="1" xfId="0" applyNumberFormat="1" applyFont="1" applyFill="1" applyBorder="1"/>
    <xf numFmtId="2" fontId="2" fillId="2" borderId="6" xfId="0" applyNumberFormat="1" applyFont="1" applyFill="1" applyBorder="1"/>
    <xf numFmtId="2" fontId="2" fillId="3" borderId="1" xfId="0" applyNumberFormat="1" applyFont="1" applyFill="1" applyBorder="1"/>
    <xf numFmtId="2" fontId="2" fillId="3" borderId="6" xfId="0" applyNumberFormat="1" applyFont="1" applyFill="1" applyBorder="1"/>
    <xf numFmtId="2" fontId="2" fillId="4" borderId="20" xfId="0" applyNumberFormat="1" applyFont="1" applyFill="1" applyBorder="1"/>
    <xf numFmtId="2" fontId="2" fillId="4" borderId="21" xfId="0" applyNumberFormat="1" applyFont="1" applyFill="1" applyBorder="1"/>
    <xf numFmtId="0" fontId="5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6" fontId="2" fillId="0" borderId="0" xfId="0" applyNumberFormat="1" applyFont="1"/>
    <xf numFmtId="0" fontId="2" fillId="0" borderId="23" xfId="0" applyFont="1" applyBorder="1"/>
    <xf numFmtId="2" fontId="2" fillId="2" borderId="0" xfId="0" applyNumberFormat="1" applyFont="1" applyFill="1"/>
    <xf numFmtId="2" fontId="2" fillId="3" borderId="0" xfId="0" applyNumberFormat="1" applyFont="1" applyFill="1"/>
    <xf numFmtId="2" fontId="2" fillId="5" borderId="0" xfId="0" applyNumberFormat="1" applyFont="1" applyFill="1"/>
    <xf numFmtId="2" fontId="2" fillId="4" borderId="0" xfId="0" applyNumberFormat="1" applyFont="1" applyFill="1"/>
    <xf numFmtId="165" fontId="2" fillId="5" borderId="0" xfId="1" applyNumberFormat="1" applyFont="1" applyFill="1"/>
    <xf numFmtId="10" fontId="2" fillId="5" borderId="0" xfId="1" applyNumberFormat="1" applyFont="1" applyFill="1"/>
    <xf numFmtId="165" fontId="2" fillId="4" borderId="0" xfId="1" applyNumberFormat="1" applyFont="1" applyFill="1"/>
    <xf numFmtId="165" fontId="2" fillId="2" borderId="0" xfId="0" applyNumberFormat="1" applyFont="1" applyFill="1"/>
    <xf numFmtId="165" fontId="2" fillId="3" borderId="0" xfId="0" applyNumberFormat="1" applyFont="1" applyFill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5" borderId="22" xfId="0" applyFont="1" applyFill="1" applyBorder="1" applyAlignment="1">
      <alignment horizontal="center"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786130</xdr:colOff>
      <xdr:row>44</xdr:row>
      <xdr:rowOff>89530</xdr:rowOff>
    </xdr:from>
    <xdr:to>
      <xdr:col>11</xdr:col>
      <xdr:colOff>29938</xdr:colOff>
      <xdr:row>47</xdr:row>
      <xdr:rowOff>37651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672C634-3DDD-4038-A32C-92C234E2E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8930" y="8410570"/>
          <a:ext cx="4791168" cy="603441"/>
        </a:xfrm>
        <a:prstGeom prst="rect">
          <a:avLst/>
        </a:prstGeom>
      </xdr:spPr>
    </xdr:pic>
    <xdr:clientData/>
  </xdr:twoCellAnchor>
  <xdr:twoCellAnchor editAs="oneCell">
    <xdr:from>
      <xdr:col>4</xdr:col>
      <xdr:colOff>777240</xdr:colOff>
      <xdr:row>47</xdr:row>
      <xdr:rowOff>220932</xdr:rowOff>
    </xdr:from>
    <xdr:to>
      <xdr:col>7</xdr:col>
      <xdr:colOff>101283</xdr:colOff>
      <xdr:row>49</xdr:row>
      <xdr:rowOff>219169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4016C45-FA55-473A-8F42-EB29DDF7B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0040" y="8999172"/>
          <a:ext cx="1701483" cy="455437"/>
        </a:xfrm>
        <a:prstGeom prst="rect">
          <a:avLst/>
        </a:prstGeom>
      </xdr:spPr>
    </xdr:pic>
    <xdr:clientData/>
  </xdr:twoCellAnchor>
  <xdr:twoCellAnchor editAs="oneCell">
    <xdr:from>
      <xdr:col>4</xdr:col>
      <xdr:colOff>789305</xdr:colOff>
      <xdr:row>50</xdr:row>
      <xdr:rowOff>197363</xdr:rowOff>
    </xdr:from>
    <xdr:to>
      <xdr:col>11</xdr:col>
      <xdr:colOff>479091</xdr:colOff>
      <xdr:row>55</xdr:row>
      <xdr:rowOff>140527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25C15F4-56A8-45EC-91C5-8E6A53E63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5930" y="10941563"/>
          <a:ext cx="5223811" cy="10004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F763-1B09-46A6-ACDE-69C05697AD9C}">
  <dimension ref="B2:G98"/>
  <sheetViews>
    <sheetView tabSelected="1" topLeftCell="B34" zoomScale="80" zoomScaleNormal="80" workbookViewId="0">
      <selection activeCell="C51" sqref="C51"/>
    </sheetView>
  </sheetViews>
  <sheetFormatPr baseColWidth="10" defaultRowHeight="15.6" x14ac:dyDescent="0.3"/>
  <cols>
    <col min="1" max="1" width="2.88671875" style="1" customWidth="1"/>
    <col min="2" max="2" width="24.6640625" style="1" customWidth="1"/>
    <col min="3" max="16384" width="11.5546875" style="1"/>
  </cols>
  <sheetData>
    <row r="2" spans="2:7" x14ac:dyDescent="0.3">
      <c r="B2" s="5" t="s">
        <v>0</v>
      </c>
    </row>
    <row r="3" spans="2:7" ht="16.2" thickBot="1" x14ac:dyDescent="0.35"/>
    <row r="4" spans="2:7" ht="18.600000000000001" thickBot="1" x14ac:dyDescent="0.45">
      <c r="B4" s="1" t="s">
        <v>30</v>
      </c>
      <c r="C4" s="3">
        <v>1000</v>
      </c>
      <c r="E4" s="46" t="s">
        <v>8</v>
      </c>
      <c r="F4" s="47"/>
      <c r="G4" s="48"/>
    </row>
    <row r="5" spans="2:7" ht="18" x14ac:dyDescent="0.4">
      <c r="B5" s="1" t="s">
        <v>26</v>
      </c>
      <c r="C5" s="3">
        <v>80</v>
      </c>
      <c r="E5" s="13" t="s">
        <v>12</v>
      </c>
      <c r="F5" s="14">
        <v>1</v>
      </c>
      <c r="G5" s="15">
        <v>2</v>
      </c>
    </row>
    <row r="6" spans="2:7" x14ac:dyDescent="0.3">
      <c r="B6" s="1" t="s">
        <v>1</v>
      </c>
      <c r="C6" s="1">
        <v>2</v>
      </c>
      <c r="E6" s="8" t="s">
        <v>9</v>
      </c>
      <c r="F6" s="3">
        <v>250</v>
      </c>
      <c r="G6" s="9">
        <f>F6-F8</f>
        <v>125</v>
      </c>
    </row>
    <row r="7" spans="2:7" ht="18" x14ac:dyDescent="0.4">
      <c r="B7" s="1" t="s">
        <v>56</v>
      </c>
      <c r="C7" s="1">
        <v>3</v>
      </c>
      <c r="E7" s="8" t="s">
        <v>10</v>
      </c>
      <c r="F7" s="3">
        <f>F6*$C$12</f>
        <v>7.5</v>
      </c>
      <c r="G7" s="9">
        <f>G6*$C$12</f>
        <v>3.75</v>
      </c>
    </row>
    <row r="8" spans="2:7" ht="16.2" thickBot="1" x14ac:dyDescent="0.35">
      <c r="B8" s="1" t="s">
        <v>2</v>
      </c>
      <c r="C8" s="3">
        <v>1.1000000000000001</v>
      </c>
      <c r="E8" s="10" t="s">
        <v>11</v>
      </c>
      <c r="F8" s="11">
        <f>$F$6/$C$6</f>
        <v>125</v>
      </c>
      <c r="G8" s="12">
        <f>$F$6/$C$6</f>
        <v>125</v>
      </c>
    </row>
    <row r="9" spans="2:7" ht="18" x14ac:dyDescent="0.4">
      <c r="B9" s="1" t="s">
        <v>69</v>
      </c>
      <c r="C9" s="3">
        <v>0.6</v>
      </c>
    </row>
    <row r="10" spans="2:7" x14ac:dyDescent="0.3">
      <c r="B10" s="31" t="s">
        <v>61</v>
      </c>
      <c r="C10" s="3">
        <f>C9/C8</f>
        <v>0.54545454545454541</v>
      </c>
    </row>
    <row r="11" spans="2:7" ht="18" x14ac:dyDescent="0.4">
      <c r="B11" s="1" t="s">
        <v>70</v>
      </c>
      <c r="C11" s="3">
        <v>350</v>
      </c>
      <c r="E11" s="36" t="s">
        <v>12</v>
      </c>
      <c r="F11" s="14">
        <v>1</v>
      </c>
      <c r="G11" s="14">
        <v>2</v>
      </c>
    </row>
    <row r="12" spans="2:7" x14ac:dyDescent="0.3">
      <c r="B12" s="1" t="s">
        <v>6</v>
      </c>
      <c r="C12" s="1">
        <v>0.03</v>
      </c>
      <c r="E12" s="6" t="s">
        <v>15</v>
      </c>
      <c r="F12" s="3">
        <f>$C$4/$C$7</f>
        <v>333.33333333333331</v>
      </c>
      <c r="G12" s="3">
        <f>$C$4/$C$7</f>
        <v>333.33333333333331</v>
      </c>
    </row>
    <row r="13" spans="2:7" x14ac:dyDescent="0.3">
      <c r="B13" s="1" t="s">
        <v>7</v>
      </c>
      <c r="C13" s="1">
        <v>0.24</v>
      </c>
      <c r="E13" s="6" t="s">
        <v>16</v>
      </c>
      <c r="F13" s="3"/>
      <c r="G13" s="3">
        <f>G12</f>
        <v>333.33333333333331</v>
      </c>
    </row>
    <row r="16" spans="2:7" ht="18" x14ac:dyDescent="0.4">
      <c r="B16" s="36" t="s">
        <v>57</v>
      </c>
      <c r="C16" s="14" t="s">
        <v>58</v>
      </c>
      <c r="D16" s="14" t="s">
        <v>59</v>
      </c>
      <c r="E16" s="14" t="s">
        <v>60</v>
      </c>
    </row>
    <row r="17" spans="2:5" x14ac:dyDescent="0.3">
      <c r="B17" s="6" t="s">
        <v>3</v>
      </c>
      <c r="C17" s="3">
        <v>0.3</v>
      </c>
      <c r="D17" s="3">
        <v>0.05</v>
      </c>
      <c r="E17" s="3">
        <v>1900</v>
      </c>
    </row>
    <row r="18" spans="2:5" x14ac:dyDescent="0.3">
      <c r="B18" s="6" t="s">
        <v>4</v>
      </c>
      <c r="C18" s="3">
        <v>0.4</v>
      </c>
      <c r="D18" s="3">
        <v>0.1</v>
      </c>
      <c r="E18" s="3">
        <v>2000</v>
      </c>
    </row>
    <row r="19" spans="2:5" x14ac:dyDescent="0.3">
      <c r="B19" s="6" t="s">
        <v>5</v>
      </c>
      <c r="C19" s="3">
        <v>0.3</v>
      </c>
      <c r="D19" s="3">
        <v>0.15</v>
      </c>
      <c r="E19" s="3">
        <v>2100</v>
      </c>
    </row>
    <row r="21" spans="2:5" x14ac:dyDescent="0.3">
      <c r="B21" s="1" t="s">
        <v>13</v>
      </c>
      <c r="D21" s="3">
        <f>SUMPRODUCT($C$17:$C$19,D17:D19)</f>
        <v>0.1</v>
      </c>
      <c r="E21" s="3">
        <f>SUMPRODUCT($C$17:$C$19,E17:E19)</f>
        <v>2000</v>
      </c>
    </row>
    <row r="22" spans="2:5" x14ac:dyDescent="0.3">
      <c r="B22" s="1" t="s">
        <v>62</v>
      </c>
      <c r="C22" s="3">
        <f>E21*C8</f>
        <v>2200</v>
      </c>
    </row>
    <row r="24" spans="2:5" ht="18.600000000000001" x14ac:dyDescent="0.4">
      <c r="B24" s="1" t="s">
        <v>63</v>
      </c>
      <c r="C24" s="2" cm="1">
        <f t="array" ref="C24">SUMPRODUCT(C17:C19,D17:D19^2)-D21^2</f>
        <v>1.4999999999999979E-3</v>
      </c>
    </row>
    <row r="25" spans="2:5" ht="18" x14ac:dyDescent="0.4">
      <c r="B25" s="1" t="s">
        <v>64</v>
      </c>
      <c r="C25" s="2" cm="1">
        <f t="array" ref="C25">SUMPRODUCT(C17:C19,D17:D19*E17:E19)-D21*E21</f>
        <v>3</v>
      </c>
    </row>
    <row r="26" spans="2:5" ht="18" x14ac:dyDescent="0.4">
      <c r="B26" s="1" t="s">
        <v>65</v>
      </c>
      <c r="C26" s="2">
        <f>C25*C8</f>
        <v>3.3000000000000003</v>
      </c>
    </row>
    <row r="28" spans="2:5" x14ac:dyDescent="0.3">
      <c r="B28" s="1" t="s">
        <v>12</v>
      </c>
      <c r="C28" s="1">
        <v>1</v>
      </c>
      <c r="D28" s="1">
        <v>2</v>
      </c>
    </row>
    <row r="29" spans="2:5" x14ac:dyDescent="0.3">
      <c r="B29" s="1" t="s">
        <v>14</v>
      </c>
      <c r="C29" s="1">
        <f>D29</f>
        <v>2045.9999999999998</v>
      </c>
      <c r="D29" s="1">
        <f>C22-(D21-C12)/C24*C26</f>
        <v>2045.9999999999998</v>
      </c>
    </row>
    <row r="31" spans="2:5" ht="17.399999999999999" x14ac:dyDescent="0.3">
      <c r="B31" s="1" t="s">
        <v>12</v>
      </c>
      <c r="C31" s="1" t="s">
        <v>66</v>
      </c>
      <c r="D31" s="1" t="s">
        <v>67</v>
      </c>
    </row>
    <row r="32" spans="2:5" ht="18" x14ac:dyDescent="0.4">
      <c r="B32" s="1" t="s">
        <v>55</v>
      </c>
      <c r="C32" s="3">
        <f>D32+D32/(1+C12)</f>
        <v>3914.9589970779525</v>
      </c>
      <c r="D32" s="3">
        <f>D29/(1+C12)</f>
        <v>1986.4077669902911</v>
      </c>
    </row>
    <row r="33" spans="2:4" ht="18" x14ac:dyDescent="0.4">
      <c r="B33" s="1" t="s">
        <v>54</v>
      </c>
      <c r="C33" s="3">
        <f>C32*(1-$C$13)*(1-$C$10)</f>
        <v>1352.4403808087475</v>
      </c>
      <c r="D33" s="3">
        <f>D32*(1-$C$13)*(1-$C$10)</f>
        <v>686.21359223300965</v>
      </c>
    </row>
    <row r="34" spans="2:4" ht="18" x14ac:dyDescent="0.4">
      <c r="B34" s="1" t="s">
        <v>53</v>
      </c>
      <c r="C34" s="3">
        <f>(-C11*(1-C13)+C13*F12+D34)/(1+C12)</f>
        <v>-223.18785936469038</v>
      </c>
      <c r="D34" s="3">
        <f>(-C11*(1-C13)+C13*G12+C5*(1-C13)+C13*G13)/(1+C12)</f>
        <v>-43.88349514563108</v>
      </c>
    </row>
    <row r="35" spans="2:4" ht="18" x14ac:dyDescent="0.4">
      <c r="B35" s="1" t="s">
        <v>52</v>
      </c>
      <c r="C35" s="3">
        <f>SUM(C33:C34)</f>
        <v>1129.252521444057</v>
      </c>
      <c r="D35" s="3">
        <f>SUM(D33:D34)</f>
        <v>642.33009708737859</v>
      </c>
    </row>
    <row r="36" spans="2:4" ht="18" x14ac:dyDescent="0.4">
      <c r="B36" s="1" t="s">
        <v>51</v>
      </c>
      <c r="C36" s="3">
        <f>(F7*C13+D36)/(1+C12)</f>
        <v>2.5959091337543594</v>
      </c>
      <c r="D36" s="3">
        <f>G7*C13/(1+C12)</f>
        <v>0.87378640776699024</v>
      </c>
    </row>
    <row r="37" spans="2:4" ht="18" x14ac:dyDescent="0.4">
      <c r="B37" s="1" t="s">
        <v>50</v>
      </c>
      <c r="C37" s="3">
        <f>SUM(C35:C36)</f>
        <v>1131.8484305778113</v>
      </c>
      <c r="D37" s="3">
        <f>SUM(D35:D36)</f>
        <v>643.20388349514553</v>
      </c>
    </row>
    <row r="38" spans="2:4" x14ac:dyDescent="0.3">
      <c r="C38" s="3"/>
      <c r="D38" s="3"/>
    </row>
    <row r="39" spans="2:4" ht="18" x14ac:dyDescent="0.4">
      <c r="B39" s="1" t="s">
        <v>49</v>
      </c>
      <c r="C39" s="3">
        <f>C37-C4</f>
        <v>131.84843057781131</v>
      </c>
    </row>
    <row r="41" spans="2:4" ht="18" x14ac:dyDescent="0.4">
      <c r="B41" s="1" t="s">
        <v>47</v>
      </c>
      <c r="C41" s="3">
        <f>(F7+F8+D41)/(1+C12)</f>
        <v>250</v>
      </c>
      <c r="D41" s="3">
        <f>(G7+G8)/(1+C12)</f>
        <v>125</v>
      </c>
    </row>
    <row r="42" spans="2:4" ht="18" x14ac:dyDescent="0.4">
      <c r="B42" s="1" t="s">
        <v>48</v>
      </c>
      <c r="C42" s="3">
        <f>C37-C41</f>
        <v>881.84843057781131</v>
      </c>
      <c r="D42" s="3">
        <f>D37-D41</f>
        <v>518.20388349514553</v>
      </c>
    </row>
    <row r="43" spans="2:4" ht="18" x14ac:dyDescent="0.4">
      <c r="B43" s="1" t="s">
        <v>49</v>
      </c>
      <c r="C43" s="3">
        <f>C42-C4+C41</f>
        <v>131.84843057781131</v>
      </c>
    </row>
    <row r="45" spans="2:4" ht="18" x14ac:dyDescent="0.4">
      <c r="B45" s="1" t="s">
        <v>37</v>
      </c>
      <c r="C45" s="35">
        <f>C33/C35</f>
        <v>1.1976421173532417</v>
      </c>
      <c r="D45" s="35">
        <f>D33/D35</f>
        <v>1.0683192261185006</v>
      </c>
    </row>
    <row r="46" spans="2:4" ht="18" x14ac:dyDescent="0.4">
      <c r="B46" s="1" t="s">
        <v>38</v>
      </c>
      <c r="C46" s="35">
        <f>C35/C42</f>
        <v>1.2805517164714346</v>
      </c>
      <c r="D46" s="35">
        <f>D35/D42</f>
        <v>1.2395316159250587</v>
      </c>
    </row>
    <row r="47" spans="2:4" x14ac:dyDescent="0.3">
      <c r="C47" s="35"/>
      <c r="D47" s="35"/>
    </row>
    <row r="48" spans="2:4" ht="18" x14ac:dyDescent="0.4">
      <c r="B48" s="1" t="s">
        <v>39</v>
      </c>
      <c r="C48" s="35">
        <f>1/C32*(C26/C24)</f>
        <v>0.56194713703056387</v>
      </c>
      <c r="D48" s="35">
        <f>1/D32*(C26/C24)</f>
        <v>1.1075268817204318</v>
      </c>
    </row>
    <row r="49" spans="2:4" ht="18" x14ac:dyDescent="0.4">
      <c r="B49" s="1" t="s">
        <v>40</v>
      </c>
      <c r="C49" s="35">
        <f>C48*C45</f>
        <v>0.67301155903387677</v>
      </c>
      <c r="D49" s="35">
        <f>D48*D45</f>
        <v>1.1831922611850079</v>
      </c>
    </row>
    <row r="50" spans="2:4" ht="18" x14ac:dyDescent="0.4">
      <c r="B50" s="1" t="s">
        <v>41</v>
      </c>
      <c r="C50" s="35">
        <f>C49+C49*C41/C42-C49*C36/C42</f>
        <v>0.86182610712594721</v>
      </c>
      <c r="D50" s="35">
        <f>D49+D49*D41/D42-D49*D36/D42</f>
        <v>1.4666042154566767</v>
      </c>
    </row>
    <row r="51" spans="2:4" ht="18" x14ac:dyDescent="0.4">
      <c r="B51" s="1" t="s">
        <v>42</v>
      </c>
      <c r="C51" s="35">
        <f>C46*C49</f>
        <v>0.86182610712594721</v>
      </c>
      <c r="D51" s="35">
        <f>D46*D49</f>
        <v>1.466604215456677</v>
      </c>
    </row>
    <row r="52" spans="2:4" x14ac:dyDescent="0.3">
      <c r="C52" s="35"/>
      <c r="D52" s="35"/>
    </row>
    <row r="53" spans="2:4" x14ac:dyDescent="0.3">
      <c r="B53" s="1" t="s">
        <v>68</v>
      </c>
      <c r="C53" s="4">
        <f>$C$12+($D$21-$C$12)*C48</f>
        <v>6.9336299592139466E-2</v>
      </c>
      <c r="D53" s="4">
        <f>$C$12+($D$21-$C$12)*D48</f>
        <v>0.10752688172043023</v>
      </c>
    </row>
    <row r="54" spans="2:4" ht="18" x14ac:dyDescent="0.4">
      <c r="B54" s="1" t="s">
        <v>44</v>
      </c>
      <c r="C54" s="4">
        <f>C41/C37</f>
        <v>0.22087763100256666</v>
      </c>
      <c r="D54" s="4">
        <f>D41/D37</f>
        <v>0.19433962264150947</v>
      </c>
    </row>
    <row r="55" spans="2:4" x14ac:dyDescent="0.3">
      <c r="B55" s="24" t="s">
        <v>32</v>
      </c>
      <c r="C55" s="41">
        <f>C12+($D$21-$C$12)*C49</f>
        <v>7.711080913237138E-2</v>
      </c>
      <c r="D55" s="41">
        <f>C12+($D$21-$C$12)*D49</f>
        <v>0.11282345828295055</v>
      </c>
    </row>
    <row r="56" spans="2:4" x14ac:dyDescent="0.3">
      <c r="B56" s="24" t="s">
        <v>6</v>
      </c>
      <c r="C56" s="42">
        <f>$C$12</f>
        <v>0.03</v>
      </c>
      <c r="D56" s="42">
        <f>$C$12</f>
        <v>0.03</v>
      </c>
    </row>
    <row r="57" spans="2:4" ht="18" x14ac:dyDescent="0.4">
      <c r="B57" s="34" t="s">
        <v>43</v>
      </c>
      <c r="C57" s="43">
        <f>C12+($D$21-$C$12)*C50</f>
        <v>9.0327827498816307E-2</v>
      </c>
      <c r="D57" s="43">
        <f>C12+($D$21-$C$12)*D50</f>
        <v>0.13266229508196736</v>
      </c>
    </row>
    <row r="58" spans="2:4" ht="18" x14ac:dyDescent="0.4">
      <c r="B58" s="32" t="s">
        <v>45</v>
      </c>
      <c r="C58" s="44">
        <f>C54*(1-$C$13)*$C$12+(1-C54)*C57</f>
        <v>7.5412440934127786E-2</v>
      </c>
      <c r="D58" s="44">
        <f>D54*(1-$C$13)*$C$12+(1-D54)*D57</f>
        <v>0.11131169811320767</v>
      </c>
    </row>
    <row r="59" spans="2:4" ht="18.600000000000001" x14ac:dyDescent="0.4">
      <c r="B59" s="33" t="s">
        <v>46</v>
      </c>
      <c r="C59" s="45">
        <f>C54*$C$12+(1-C54)*C57</f>
        <v>7.7002759877346269E-2</v>
      </c>
      <c r="D59" s="45">
        <f>D54*$C$12+(1-D54)*D57</f>
        <v>0.11271094339622653</v>
      </c>
    </row>
    <row r="60" spans="2:4" ht="16.2" thickBot="1" x14ac:dyDescent="0.35"/>
    <row r="61" spans="2:4" ht="16.2" thickBot="1" x14ac:dyDescent="0.35">
      <c r="B61" s="46" t="s">
        <v>25</v>
      </c>
      <c r="C61" s="47"/>
      <c r="D61" s="48"/>
    </row>
    <row r="62" spans="2:4" x14ac:dyDescent="0.3">
      <c r="B62" s="13" t="s">
        <v>12</v>
      </c>
      <c r="C62" s="14">
        <v>1</v>
      </c>
      <c r="D62" s="15">
        <v>2</v>
      </c>
    </row>
    <row r="63" spans="2:4" x14ac:dyDescent="0.3">
      <c r="B63" s="8" t="s">
        <v>71</v>
      </c>
      <c r="C63" s="3">
        <f>$C$22</f>
        <v>2200</v>
      </c>
      <c r="D63" s="9">
        <f>$C$22</f>
        <v>2200</v>
      </c>
    </row>
    <row r="64" spans="2:4" x14ac:dyDescent="0.3">
      <c r="B64" s="8" t="s">
        <v>23</v>
      </c>
      <c r="C64" s="3">
        <f>-$C$9*$E$21</f>
        <v>-1200</v>
      </c>
      <c r="D64" s="9">
        <f>-$C$9*$E$21</f>
        <v>-1200</v>
      </c>
    </row>
    <row r="65" spans="2:5" x14ac:dyDescent="0.3">
      <c r="B65" s="8" t="s">
        <v>24</v>
      </c>
      <c r="C65" s="3">
        <f>-$C$11</f>
        <v>-350</v>
      </c>
      <c r="D65" s="9">
        <f>-$C$11</f>
        <v>-350</v>
      </c>
    </row>
    <row r="66" spans="2:5" ht="18" x14ac:dyDescent="0.4">
      <c r="B66" s="8" t="s">
        <v>26</v>
      </c>
      <c r="C66" s="3"/>
      <c r="D66" s="9">
        <f>C5</f>
        <v>80</v>
      </c>
    </row>
    <row r="67" spans="2:5" ht="18" x14ac:dyDescent="0.4">
      <c r="B67" s="8" t="s">
        <v>27</v>
      </c>
      <c r="C67" s="3">
        <f>-F12</f>
        <v>-333.33333333333331</v>
      </c>
      <c r="D67" s="9">
        <f>-G12</f>
        <v>-333.33333333333331</v>
      </c>
    </row>
    <row r="68" spans="2:5" ht="18" x14ac:dyDescent="0.4">
      <c r="B68" s="8" t="s">
        <v>28</v>
      </c>
      <c r="C68" s="3"/>
      <c r="D68" s="9">
        <f>-G13</f>
        <v>-333.33333333333331</v>
      </c>
    </row>
    <row r="69" spans="2:5" x14ac:dyDescent="0.3">
      <c r="B69" s="7" t="s">
        <v>17</v>
      </c>
      <c r="C69" s="16">
        <f>SUM(C63:C68)</f>
        <v>316.66666666666669</v>
      </c>
      <c r="D69" s="17">
        <f>SUM(D63:D68)</f>
        <v>63.333333333333371</v>
      </c>
    </row>
    <row r="70" spans="2:5" ht="16.2" thickBot="1" x14ac:dyDescent="0.35">
      <c r="B70" s="10" t="s">
        <v>18</v>
      </c>
      <c r="C70" s="11">
        <f>C69*$C$13</f>
        <v>76</v>
      </c>
      <c r="D70" s="12">
        <f>D69*$C$13</f>
        <v>15.200000000000008</v>
      </c>
    </row>
    <row r="72" spans="2:5" ht="16.2" thickBot="1" x14ac:dyDescent="0.35"/>
    <row r="73" spans="2:5" ht="16.2" thickBot="1" x14ac:dyDescent="0.35">
      <c r="B73" s="46" t="s">
        <v>29</v>
      </c>
      <c r="C73" s="47"/>
      <c r="D73" s="47"/>
      <c r="E73" s="48"/>
    </row>
    <row r="74" spans="2:5" x14ac:dyDescent="0.3">
      <c r="B74" s="19" t="s">
        <v>12</v>
      </c>
      <c r="C74" s="18">
        <v>0</v>
      </c>
      <c r="D74" s="18">
        <v>1</v>
      </c>
      <c r="E74" s="20">
        <v>2</v>
      </c>
    </row>
    <row r="75" spans="2:5" ht="18" x14ac:dyDescent="0.4">
      <c r="B75" s="8" t="s">
        <v>30</v>
      </c>
      <c r="C75" s="3">
        <f>-C4</f>
        <v>-1000</v>
      </c>
      <c r="D75" s="3"/>
      <c r="E75" s="9"/>
    </row>
    <row r="76" spans="2:5" x14ac:dyDescent="0.3">
      <c r="B76" s="8" t="s">
        <v>71</v>
      </c>
      <c r="C76" s="3"/>
      <c r="D76" s="3">
        <f>C63</f>
        <v>2200</v>
      </c>
      <c r="E76" s="9">
        <f>D63</f>
        <v>2200</v>
      </c>
    </row>
    <row r="77" spans="2:5" ht="18" x14ac:dyDescent="0.4">
      <c r="B77" s="8" t="s">
        <v>26</v>
      </c>
      <c r="C77" s="3"/>
      <c r="D77" s="3"/>
      <c r="E77" s="9">
        <f>D66</f>
        <v>80</v>
      </c>
    </row>
    <row r="78" spans="2:5" x14ac:dyDescent="0.3">
      <c r="B78" s="8" t="s">
        <v>23</v>
      </c>
      <c r="C78" s="3"/>
      <c r="D78" s="3">
        <f>C64</f>
        <v>-1200</v>
      </c>
      <c r="E78" s="9">
        <f>D64</f>
        <v>-1200</v>
      </c>
    </row>
    <row r="79" spans="2:5" x14ac:dyDescent="0.3">
      <c r="B79" s="8" t="s">
        <v>24</v>
      </c>
      <c r="C79" s="3"/>
      <c r="D79" s="3">
        <f>C65</f>
        <v>-350</v>
      </c>
      <c r="E79" s="9">
        <f>D65</f>
        <v>-350</v>
      </c>
    </row>
    <row r="80" spans="2:5" x14ac:dyDescent="0.3">
      <c r="B80" s="8" t="s">
        <v>18</v>
      </c>
      <c r="C80" s="3"/>
      <c r="D80" s="3">
        <f>-C70</f>
        <v>-76</v>
      </c>
      <c r="E80" s="9">
        <f>-D70</f>
        <v>-15.200000000000008</v>
      </c>
    </row>
    <row r="81" spans="2:6" x14ac:dyDescent="0.3">
      <c r="B81" s="21" t="s">
        <v>19</v>
      </c>
      <c r="C81" s="25">
        <f>SUM(C75:C80)</f>
        <v>-1000</v>
      </c>
      <c r="D81" s="25">
        <f t="shared" ref="D81:E81" si="0">SUM(D75:D80)</f>
        <v>574</v>
      </c>
      <c r="E81" s="26">
        <f t="shared" si="0"/>
        <v>714.8</v>
      </c>
      <c r="F81" s="49" t="s">
        <v>31</v>
      </c>
    </row>
    <row r="82" spans="2:6" x14ac:dyDescent="0.3">
      <c r="B82" s="8" t="s">
        <v>20</v>
      </c>
      <c r="C82" s="3"/>
      <c r="D82" s="3">
        <f>F7*$C$13</f>
        <v>1.7999999999999998</v>
      </c>
      <c r="E82" s="9">
        <f>G7*$C$13</f>
        <v>0.89999999999999991</v>
      </c>
      <c r="F82" s="49"/>
    </row>
    <row r="83" spans="2:6" x14ac:dyDescent="0.3">
      <c r="B83" s="22" t="s">
        <v>21</v>
      </c>
      <c r="C83" s="27">
        <f>SUM(C81:C82)</f>
        <v>-1000</v>
      </c>
      <c r="D83" s="27">
        <f t="shared" ref="D83:E83" si="1">SUM(D81:D82)</f>
        <v>575.79999999999995</v>
      </c>
      <c r="E83" s="28">
        <f t="shared" si="1"/>
        <v>715.69999999999993</v>
      </c>
    </row>
    <row r="84" spans="2:6" x14ac:dyDescent="0.3">
      <c r="B84" s="8" t="s">
        <v>72</v>
      </c>
      <c r="C84" s="3">
        <f>F6</f>
        <v>250</v>
      </c>
      <c r="D84" s="3"/>
      <c r="E84" s="9"/>
    </row>
    <row r="85" spans="2:6" x14ac:dyDescent="0.3">
      <c r="B85" s="8" t="s">
        <v>10</v>
      </c>
      <c r="C85" s="3"/>
      <c r="D85" s="3">
        <f>-F7</f>
        <v>-7.5</v>
      </c>
      <c r="E85" s="9">
        <f>-G7</f>
        <v>-3.75</v>
      </c>
    </row>
    <row r="86" spans="2:6" x14ac:dyDescent="0.3">
      <c r="B86" s="8" t="s">
        <v>11</v>
      </c>
      <c r="C86" s="3"/>
      <c r="D86" s="3">
        <f>-F8</f>
        <v>-125</v>
      </c>
      <c r="E86" s="9">
        <f>-G8</f>
        <v>-125</v>
      </c>
    </row>
    <row r="87" spans="2:6" ht="16.2" thickBot="1" x14ac:dyDescent="0.35">
      <c r="B87" s="23" t="s">
        <v>22</v>
      </c>
      <c r="C87" s="29">
        <f>SUM(C83:C86)</f>
        <v>-750</v>
      </c>
      <c r="D87" s="29">
        <f t="shared" ref="D87:E87" si="2">SUM(D83:D86)</f>
        <v>443.29999999999995</v>
      </c>
      <c r="E87" s="30">
        <f t="shared" si="2"/>
        <v>586.94999999999993</v>
      </c>
    </row>
    <row r="89" spans="2:6" x14ac:dyDescent="0.3">
      <c r="B89" s="32" t="s">
        <v>33</v>
      </c>
      <c r="C89" s="37">
        <f>(E81/(1+D58)+D81)/(1+C58)+C81</f>
        <v>131.84843057781109</v>
      </c>
    </row>
    <row r="90" spans="2:6" x14ac:dyDescent="0.3">
      <c r="B90" s="33" t="s">
        <v>34</v>
      </c>
      <c r="C90" s="38">
        <f>(E83/(1+D59)+D83)/(1+C59)+C83</f>
        <v>131.84843057781131</v>
      </c>
    </row>
    <row r="91" spans="2:6" x14ac:dyDescent="0.3">
      <c r="B91" s="24" t="s">
        <v>35</v>
      </c>
      <c r="C91" s="39">
        <f>(E81/(1+D55)+D81)/(1+C55)+(E82/(1+C12)+D82)/(1+C12)+C81</f>
        <v>131.84843057781086</v>
      </c>
    </row>
    <row r="92" spans="2:6" x14ac:dyDescent="0.3">
      <c r="B92" s="34" t="s">
        <v>36</v>
      </c>
      <c r="C92" s="40">
        <f>(E87/(1+D57)+D87)/(1+C57)+C87</f>
        <v>131.84843057781097</v>
      </c>
    </row>
    <row r="98" spans="2:2" x14ac:dyDescent="0.3">
      <c r="B98" s="5"/>
    </row>
  </sheetData>
  <mergeCells count="4">
    <mergeCell ref="B61:D61"/>
    <mergeCell ref="B73:E73"/>
    <mergeCell ref="F81:F82"/>
    <mergeCell ref="E4:G4"/>
  </mergeCells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ZB Kapitalkostensätze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sommersg</dc:creator>
  <cp:lastModifiedBy>lkamper50@gmail.com</cp:lastModifiedBy>
  <dcterms:created xsi:type="dcterms:W3CDTF">2023-05-16T12:51:38Z</dcterms:created>
  <dcterms:modified xsi:type="dcterms:W3CDTF">2023-06-13T08:45:51Z</dcterms:modified>
</cp:coreProperties>
</file>